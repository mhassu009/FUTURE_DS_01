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 hidePivotFieldList="1"/>
  <xr:revisionPtr revIDLastSave="0" documentId="8_{B9BAF23B-1087-460A-8DB2-97CDA4D33DE1}" xr6:coauthVersionLast="47" xr6:coauthVersionMax="47" xr10:uidLastSave="{00000000-0000-0000-0000-000000000000}"/>
  <bookViews>
    <workbookView xWindow="0" yWindow="0" windowWidth="0" windowHeight="0" firstSheet="2" activeTab="2" xr2:uid="{00000000-000D-0000-FFFF-FFFF00000000}"/>
  </bookViews>
  <sheets>
    <sheet name="Sheet1" sheetId="2" r:id="rId1"/>
    <sheet name="Detail1" sheetId="3" r:id="rId2"/>
    <sheet name="SalesData" sheetId="1" r:id="rId3"/>
  </sheets>
  <calcPr calcId="191028"/>
  <pivotCaches>
    <pivotCache cacheId="230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8" i="1" l="1"/>
</calcChain>
</file>

<file path=xl/sharedStrings.xml><?xml version="1.0" encoding="utf-8"?>
<sst xmlns="http://schemas.openxmlformats.org/spreadsheetml/2006/main" count="163" uniqueCount="56">
  <si>
    <t>Details for Sum of Quantity - Region: Peshawar</t>
  </si>
  <si>
    <t>Date</t>
  </si>
  <si>
    <t>Product</t>
  </si>
  <si>
    <t>Category</t>
  </si>
  <si>
    <t>Region</t>
  </si>
  <si>
    <t>Quantity</t>
  </si>
  <si>
    <t>Price</t>
  </si>
  <si>
    <t>Column1</t>
  </si>
  <si>
    <t>2024-03-12</t>
  </si>
  <si>
    <t>Bag</t>
  </si>
  <si>
    <t>Accessories</t>
  </si>
  <si>
    <t>Peshawar</t>
  </si>
  <si>
    <t>2024-03-01</t>
  </si>
  <si>
    <t>Laptop</t>
  </si>
  <si>
    <t>Electronics</t>
  </si>
  <si>
    <t>2024-01-05</t>
  </si>
  <si>
    <t>Shoes</t>
  </si>
  <si>
    <t>Fashion</t>
  </si>
  <si>
    <t>Revenue</t>
  </si>
  <si>
    <t>2024-02-10</t>
  </si>
  <si>
    <t>Watch</t>
  </si>
  <si>
    <t>2024-01-25</t>
  </si>
  <si>
    <t>iPhone</t>
  </si>
  <si>
    <t>revenue</t>
  </si>
  <si>
    <t>Sum of Price</t>
  </si>
  <si>
    <t>2024-01-02</t>
  </si>
  <si>
    <t>Lahore</t>
  </si>
  <si>
    <t>T-Shirt</t>
  </si>
  <si>
    <t>2024-01-03</t>
  </si>
  <si>
    <t>Samsung TV</t>
  </si>
  <si>
    <t>Karachi</t>
  </si>
  <si>
    <t>2024-01-07</t>
  </si>
  <si>
    <t>Islamabad</t>
  </si>
  <si>
    <t>2024-01-10</t>
  </si>
  <si>
    <t>Headphones</t>
  </si>
  <si>
    <t>2024-01-12</t>
  </si>
  <si>
    <t>2024-01-15</t>
  </si>
  <si>
    <t>2024-01-18</t>
  </si>
  <si>
    <t>2024-01-20</t>
  </si>
  <si>
    <t>Grand Total</t>
  </si>
  <si>
    <t xml:space="preserve"> iphone is top selling product</t>
  </si>
  <si>
    <t>2024-02-02</t>
  </si>
  <si>
    <t>2024-02-05</t>
  </si>
  <si>
    <t>2024-02-07</t>
  </si>
  <si>
    <t>2024-02-14</t>
  </si>
  <si>
    <t>2024-02-18</t>
  </si>
  <si>
    <t>2024-02-20</t>
  </si>
  <si>
    <t>Electronics catogory is the highest revenue</t>
  </si>
  <si>
    <t>2024-02-25</t>
  </si>
  <si>
    <t>Sum of Quantity</t>
  </si>
  <si>
    <t>2024-03-03</t>
  </si>
  <si>
    <t>2024-03-06</t>
  </si>
  <si>
    <t>2024-03-10</t>
  </si>
  <si>
    <t>2024-03-15</t>
  </si>
  <si>
    <t>2024-03-18</t>
  </si>
  <si>
    <t>lahore has the best performance among the cities.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</si>
</sst>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 1.xlsx]SalesData!PivotTable3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SalesData!$J$1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SalesData!$I$2:$I$10</c:f>
              <c:strCache>
                <c:ptCount val="8"/>
                <c:pt idx="0">
                  <c:v>T-Shirt</c:v>
                </c:pt>
                <c:pt idx="1">
                  <c:v>Bag</c:v>
                </c:pt>
                <c:pt idx="2">
                  <c:v>Shoes</c:v>
                </c:pt>
                <c:pt idx="3">
                  <c:v>Watch</c:v>
                </c:pt>
                <c:pt idx="4">
                  <c:v>Headphones</c:v>
                </c:pt>
                <c:pt idx="5">
                  <c:v>Samsung TV</c:v>
                </c:pt>
                <c:pt idx="6">
                  <c:v>Laptop</c:v>
                </c:pt>
                <c:pt idx="7">
                  <c:v>iPhone</c:v>
                </c:pt>
              </c:strCache>
            </c:strRef>
          </c:cat>
          <c:val>
            <c:numRef>
              <c:f>SalesData!$J$2:$J$10</c:f>
              <c:numCache>
                <c:formatCode>General</c:formatCode>
                <c:ptCount val="8"/>
                <c:pt idx="0">
                  <c:v>6000</c:v>
                </c:pt>
                <c:pt idx="1">
                  <c:v>18000</c:v>
                </c:pt>
                <c:pt idx="2">
                  <c:v>20000</c:v>
                </c:pt>
                <c:pt idx="3">
                  <c:v>21000</c:v>
                </c:pt>
                <c:pt idx="4">
                  <c:v>24000</c:v>
                </c:pt>
                <c:pt idx="5">
                  <c:v>450000</c:v>
                </c:pt>
                <c:pt idx="6">
                  <c:v>540000</c:v>
                </c:pt>
                <c:pt idx="7">
                  <c:v>600000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C5-45A4-A03C-998D9C16D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955655"/>
        <c:axId val="22422535"/>
      </c:barChart>
      <c:catAx>
        <c:axId val="4955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22535"/>
        <c:crosses val="autoZero"/>
        <c:auto val="1"/>
        <c:lblAlgn val="ctr"/>
        <c:lblOffset val="100"/>
        <c:noMultiLvlLbl val="0"/>
      </c:catAx>
      <c:valAx>
        <c:axId val="22422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5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 1.xlsx]SalesData!PivotTable6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SalesData!$I$13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SalesData!$H$14:$H$17</c:f>
              <c:strCache>
                <c:ptCount val="3"/>
                <c:pt idx="0">
                  <c:v>Electronics</c:v>
                </c:pt>
                <c:pt idx="1">
                  <c:v>Accessories</c:v>
                </c:pt>
                <c:pt idx="2">
                  <c:v>Fashion</c:v>
                </c:pt>
              </c:strCache>
            </c:strRef>
          </c:cat>
          <c:val>
            <c:numRef>
              <c:f>SalesData!$I$14:$I$17</c:f>
              <c:numCache>
                <c:formatCode>General</c:formatCode>
                <c:ptCount val="3"/>
                <c:pt idx="0">
                  <c:v>1614000</c:v>
                </c:pt>
                <c:pt idx="1">
                  <c:v>39000</c:v>
                </c:pt>
                <c:pt idx="2">
                  <c:v>26000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12-48C0-BA16-92A9E5E1D2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60561927"/>
        <c:axId val="1128053256"/>
      </c:barChart>
      <c:catAx>
        <c:axId val="260561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053256"/>
        <c:crosses val="autoZero"/>
        <c:auto val="1"/>
        <c:lblAlgn val="ctr"/>
        <c:lblOffset val="100"/>
        <c:noMultiLvlLbl val="0"/>
      </c:catAx>
      <c:valAx>
        <c:axId val="1128053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561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 1.xlsx]SalesData!PivotTable4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SalesData!$M$20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SalesData!$L$21:$L$25</c:f>
              <c:strCache>
                <c:ptCount val="4"/>
                <c:pt idx="0">
                  <c:v>Lahore</c:v>
                </c:pt>
                <c:pt idx="1">
                  <c:v>Karachi</c:v>
                </c:pt>
                <c:pt idx="2">
                  <c:v>Islamabad</c:v>
                </c:pt>
                <c:pt idx="3">
                  <c:v>Peshawar</c:v>
                </c:pt>
              </c:strCache>
            </c:strRef>
          </c:cat>
          <c:val>
            <c:numRef>
              <c:f>SalesData!$M$21:$M$25</c:f>
              <c:numCache>
                <c:formatCode>General</c:formatCode>
                <c:ptCount val="4"/>
                <c:pt idx="0">
                  <c:v>35</c:v>
                </c:pt>
                <c:pt idx="1">
                  <c:v>25</c:v>
                </c:pt>
                <c:pt idx="2">
                  <c:v>20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22-48C6-8DAB-379A61689F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64046088"/>
        <c:axId val="1555645448"/>
      </c:barChart>
      <c:catAx>
        <c:axId val="664046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645448"/>
        <c:crosses val="autoZero"/>
        <c:auto val="1"/>
        <c:lblAlgn val="ctr"/>
        <c:lblOffset val="100"/>
        <c:noMultiLvlLbl val="0"/>
      </c:catAx>
      <c:valAx>
        <c:axId val="1555645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046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0</xdr:row>
      <xdr:rowOff>0</xdr:rowOff>
    </xdr:from>
    <xdr:to>
      <xdr:col>16</xdr:col>
      <xdr:colOff>152400</xdr:colOff>
      <xdr:row>14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8457E4-27E1-4D65-8539-3681F34EFB24}"/>
            </a:ext>
            <a:ext uri="{147F2762-F138-4A5C-976F-8EAC2B608ADB}">
              <a16:predDERef xmlns:a16="http://schemas.microsoft.com/office/drawing/2014/main" pred="{6F670812-2C40-5033-3A76-4395743C71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17</xdr:row>
      <xdr:rowOff>371475</xdr:rowOff>
    </xdr:from>
    <xdr:to>
      <xdr:col>10</xdr:col>
      <xdr:colOff>619125</xdr:colOff>
      <xdr:row>32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8D86AC6-EF15-4670-A5A1-60505097B38A}"/>
            </a:ext>
            <a:ext uri="{147F2762-F138-4A5C-976F-8EAC2B608ADB}">
              <a16:predDERef xmlns:a16="http://schemas.microsoft.com/office/drawing/2014/main" pred="{2E8457E4-27E1-4D65-8539-3681F34EFB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57150</xdr:colOff>
      <xdr:row>18</xdr:row>
      <xdr:rowOff>123825</xdr:rowOff>
    </xdr:from>
    <xdr:to>
      <xdr:col>18</xdr:col>
      <xdr:colOff>400050</xdr:colOff>
      <xdr:row>33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519BDF-F692-EF8A-3656-D2DC29DD5BDB}"/>
            </a:ext>
            <a:ext uri="{147F2762-F138-4A5C-976F-8EAC2B608ADB}">
              <a16:predDERef xmlns:a16="http://schemas.microsoft.com/office/drawing/2014/main" pred="{18D86AC6-EF15-4670-A5A1-60505097B3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12.410134259262" createdVersion="8" refreshedVersion="8" minRefreshableVersion="3" recordCount="25" xr:uid="{DCBFB09D-36E1-49C9-B52A-324B0F9F9A86}">
  <cacheSource type="worksheet">
    <worksheetSource name="Table1"/>
  </cacheSource>
  <cacheFields count="7">
    <cacheField name="Date" numFmtId="0">
      <sharedItems count="25">
        <s v="2024-01-02"/>
        <s v="2024-01-03"/>
        <s v="2024-01-05"/>
        <s v="2024-01-07"/>
        <s v="2024-01-10"/>
        <s v="2024-01-12"/>
        <s v="2024-01-15"/>
        <s v="2024-01-18"/>
        <s v="2024-01-20"/>
        <s v="2024-01-25"/>
        <s v="2024-02-02"/>
        <s v="2024-02-05"/>
        <s v="2024-02-07"/>
        <s v="2024-02-10"/>
        <s v="2024-02-14"/>
        <s v="2024-02-18"/>
        <s v="2024-02-20"/>
        <s v="2024-02-25"/>
        <s v="2024-03-01"/>
        <s v="2024-03-03"/>
        <s v="2024-03-06"/>
        <s v="2024-03-10"/>
        <s v="2024-03-12"/>
        <s v="2024-03-15"/>
        <s v="2024-03-18"/>
      </sharedItems>
    </cacheField>
    <cacheField name="Product" numFmtId="0">
      <sharedItems count="8">
        <s v="iPhone"/>
        <s v="Samsung TV"/>
        <s v="Shoes"/>
        <s v="Laptop"/>
        <s v="T-Shirt"/>
        <s v="Headphones"/>
        <s v="Watch"/>
        <s v="Bag"/>
      </sharedItems>
    </cacheField>
    <cacheField name="Category" numFmtId="0">
      <sharedItems count="3">
        <s v="Electronics"/>
        <s v="Fashion"/>
        <s v="Accessories"/>
      </sharedItems>
    </cacheField>
    <cacheField name="Region" numFmtId="0">
      <sharedItems count="4">
        <s v="Lahore"/>
        <s v="Karachi"/>
        <s v="Peshawar"/>
        <s v="Islamabad"/>
      </sharedItems>
    </cacheField>
    <cacheField name="Quantity" numFmtId="0">
      <sharedItems containsSemiMixedTypes="0" containsString="0" containsNumber="1" containsInteger="1" minValue="1" maxValue="10"/>
    </cacheField>
    <cacheField name="Price" numFmtId="0">
      <sharedItems containsSemiMixedTypes="0" containsString="0" containsNumber="1" containsInteger="1" minValue="2000" maxValue="200000"/>
    </cacheField>
    <cacheField name="Column1" numFmtId="0">
      <sharedItems containsBlank="1" containsMixedTypes="1" containsNumber="1" containsInteger="1" minValue="1329000" maxValue="1329000" count="3">
        <m/>
        <s v="Revenue"/>
        <n v="1329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x v="0"/>
    <x v="0"/>
    <x v="0"/>
    <n v="2"/>
    <n v="200000"/>
    <x v="0"/>
  </r>
  <r>
    <x v="1"/>
    <x v="1"/>
    <x v="0"/>
    <x v="1"/>
    <n v="1"/>
    <n v="150000"/>
    <x v="0"/>
  </r>
  <r>
    <x v="2"/>
    <x v="2"/>
    <x v="1"/>
    <x v="2"/>
    <n v="4"/>
    <n v="5000"/>
    <x v="1"/>
  </r>
  <r>
    <x v="3"/>
    <x v="3"/>
    <x v="0"/>
    <x v="3"/>
    <n v="1"/>
    <n v="180000"/>
    <x v="2"/>
  </r>
  <r>
    <x v="4"/>
    <x v="4"/>
    <x v="1"/>
    <x v="0"/>
    <n v="8"/>
    <n v="2000"/>
    <x v="0"/>
  </r>
  <r>
    <x v="5"/>
    <x v="5"/>
    <x v="0"/>
    <x v="1"/>
    <n v="3"/>
    <n v="8000"/>
    <x v="0"/>
  </r>
  <r>
    <x v="6"/>
    <x v="6"/>
    <x v="2"/>
    <x v="0"/>
    <n v="5"/>
    <n v="7000"/>
    <x v="0"/>
  </r>
  <r>
    <x v="7"/>
    <x v="7"/>
    <x v="2"/>
    <x v="3"/>
    <n v="2"/>
    <n v="6000"/>
    <x v="0"/>
  </r>
  <r>
    <x v="8"/>
    <x v="2"/>
    <x v="1"/>
    <x v="1"/>
    <n v="6"/>
    <n v="5000"/>
    <x v="0"/>
  </r>
  <r>
    <x v="9"/>
    <x v="0"/>
    <x v="0"/>
    <x v="2"/>
    <n v="1"/>
    <n v="200000"/>
    <x v="0"/>
  </r>
  <r>
    <x v="10"/>
    <x v="3"/>
    <x v="0"/>
    <x v="0"/>
    <n v="2"/>
    <n v="180000"/>
    <x v="0"/>
  </r>
  <r>
    <x v="11"/>
    <x v="1"/>
    <x v="0"/>
    <x v="3"/>
    <n v="1"/>
    <n v="150000"/>
    <x v="0"/>
  </r>
  <r>
    <x v="12"/>
    <x v="4"/>
    <x v="1"/>
    <x v="1"/>
    <n v="10"/>
    <n v="2000"/>
    <x v="0"/>
  </r>
  <r>
    <x v="13"/>
    <x v="6"/>
    <x v="2"/>
    <x v="2"/>
    <n v="3"/>
    <n v="7000"/>
    <x v="0"/>
  </r>
  <r>
    <x v="14"/>
    <x v="7"/>
    <x v="2"/>
    <x v="0"/>
    <n v="4"/>
    <n v="6000"/>
    <x v="0"/>
  </r>
  <r>
    <x v="15"/>
    <x v="5"/>
    <x v="0"/>
    <x v="3"/>
    <n v="2"/>
    <n v="8000"/>
    <x v="0"/>
  </r>
  <r>
    <x v="16"/>
    <x v="2"/>
    <x v="1"/>
    <x v="0"/>
    <n v="7"/>
    <n v="5000"/>
    <x v="0"/>
  </r>
  <r>
    <x v="17"/>
    <x v="0"/>
    <x v="0"/>
    <x v="1"/>
    <n v="1"/>
    <n v="200000"/>
    <x v="0"/>
  </r>
  <r>
    <x v="18"/>
    <x v="3"/>
    <x v="0"/>
    <x v="2"/>
    <n v="1"/>
    <n v="180000"/>
    <x v="0"/>
  </r>
  <r>
    <x v="19"/>
    <x v="1"/>
    <x v="0"/>
    <x v="0"/>
    <n v="2"/>
    <n v="150000"/>
    <x v="0"/>
  </r>
  <r>
    <x v="20"/>
    <x v="4"/>
    <x v="1"/>
    <x v="3"/>
    <n v="6"/>
    <n v="2000"/>
    <x v="0"/>
  </r>
  <r>
    <x v="21"/>
    <x v="6"/>
    <x v="2"/>
    <x v="1"/>
    <n v="4"/>
    <n v="7000"/>
    <x v="0"/>
  </r>
  <r>
    <x v="22"/>
    <x v="7"/>
    <x v="2"/>
    <x v="2"/>
    <n v="3"/>
    <n v="6000"/>
    <x v="0"/>
  </r>
  <r>
    <x v="23"/>
    <x v="5"/>
    <x v="0"/>
    <x v="0"/>
    <n v="5"/>
    <n v="8000"/>
    <x v="0"/>
  </r>
  <r>
    <x v="24"/>
    <x v="2"/>
    <x v="1"/>
    <x v="3"/>
    <n v="8"/>
    <n v="50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CBC0EC-DDAE-418A-A2B7-975EEA49D87C}" name="PivotTable1" cacheId="23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0" firstHeaderRow="1" firstDataRow="1" firstDataCol="0"/>
  <pivotFields count="7">
    <pivotField compact="0" outline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outline="0" showAll="0">
      <items count="9">
        <item x="7"/>
        <item x="5"/>
        <item x="0"/>
        <item x="3"/>
        <item x="1"/>
        <item x="2"/>
        <item x="4"/>
        <item x="6"/>
        <item t="default"/>
      </items>
    </pivotField>
    <pivotField compact="0" outline="0" showAll="0">
      <items count="4">
        <item x="2"/>
        <item x="0"/>
        <item x="1"/>
        <item t="default"/>
      </items>
    </pivotField>
    <pivotField compact="0" outline="0" showAll="0">
      <items count="5">
        <item x="3"/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>
      <items count="4">
        <item x="2"/>
        <item x="1"/>
        <item x="0"/>
        <item t="default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C0A62-42E9-4495-91CC-AD9BE829FF64}" name="PivotTable4" cacheId="23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L20:M25" firstHeaderRow="1" firstDataRow="1" firstDataCol="1"/>
  <pivotFields count="7">
    <pivotField compact="0" outline="0" showAll="0"/>
    <pivotField compact="0" outline="0" showAll="0"/>
    <pivotField compact="0" outline="0" showAll="0"/>
    <pivotField axis="axisRow" compact="0" outline="0" showAll="0" sortType="descending">
      <items count="5">
        <item x="2"/>
        <item x="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  <pivotField compact="0" outline="0" showAll="0"/>
  </pivotFields>
  <rowFields count="1">
    <field x="3"/>
  </rowFields>
  <rowItems count="5">
    <i>
      <x v="1"/>
    </i>
    <i>
      <x v="2"/>
    </i>
    <i>
      <x v="3"/>
    </i>
    <i>
      <x/>
    </i>
    <i t="grand">
      <x/>
    </i>
  </rowItems>
  <colItems count="1">
    <i/>
  </colItems>
  <dataFields count="1">
    <dataField name="Sum of Quantity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97A4E9-A464-4516-8A98-49C4F55B5360}" name="PivotTable6" cacheId="23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H13:I17" firstHeaderRow="1" firstDataRow="1" firstDataCol="1"/>
  <pivotFields count="7">
    <pivotField compact="0" outline="0" showAll="0"/>
    <pivotField compact="0" outline="0" showAll="0">
      <items count="9">
        <item x="7"/>
        <item x="5"/>
        <item x="0"/>
        <item x="3"/>
        <item x="1"/>
        <item x="2"/>
        <item x="4"/>
        <item x="6"/>
        <item t="default"/>
      </items>
    </pivotField>
    <pivotField axis="axisRow" compact="0" outline="0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2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Sum of Price" fld="5" baseField="0" baseItem="0"/>
  </dataFields>
  <chartFormats count="8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AC4A2F-396A-450D-A987-2B9480CBD2C9}" name="PivotTable3" cacheId="23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I1:J10" firstHeaderRow="1" firstDataRow="1" firstDataCol="1"/>
  <pivotFields count="7">
    <pivotField compact="0" outline="0" showAll="0"/>
    <pivotField axis="axisRow" compact="0" outline="0" showAll="0" sortType="ascending">
      <items count="9">
        <item x="7"/>
        <item x="5"/>
        <item x="0"/>
        <item x="3"/>
        <item x="1"/>
        <item x="2"/>
        <item x="4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>
      <items count="4">
        <item x="2"/>
        <item x="1"/>
        <item x="0"/>
        <item t="default"/>
      </items>
    </pivotField>
  </pivotFields>
  <rowFields count="1">
    <field x="1"/>
  </rowFields>
  <rowItems count="9">
    <i>
      <x v="6"/>
    </i>
    <i>
      <x/>
    </i>
    <i>
      <x v="5"/>
    </i>
    <i>
      <x v="7"/>
    </i>
    <i>
      <x v="1"/>
    </i>
    <i>
      <x v="4"/>
    </i>
    <i>
      <x v="3"/>
    </i>
    <i>
      <x v="2"/>
    </i>
    <i t="grand">
      <x/>
    </i>
  </rowItems>
  <colItems count="1">
    <i/>
  </colItems>
  <dataFields count="1">
    <dataField name="Sum of Price" fld="5" baseField="0" baseItem="0"/>
  </dataFields>
  <chartFormats count="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9BAE25-C0DB-43E1-91A8-B73360F46576}" name="Table2" displayName="Table2" ref="A3:G8" totalsRowShown="0">
  <autoFilter ref="A3:G8" xr:uid="{DB9BAE25-C0DB-43E1-91A8-B73360F46576}"/>
  <tableColumns count="7">
    <tableColumn id="1" xr3:uid="{76FBDA3A-6B00-4412-860C-1B222D66B9B0}" name="Date"/>
    <tableColumn id="2" xr3:uid="{170613B2-BC40-431C-A81D-7A949EE2D974}" name="Product"/>
    <tableColumn id="3" xr3:uid="{953940B0-C245-4161-977C-532B10041AB5}" name="Category"/>
    <tableColumn id="4" xr3:uid="{63F8028B-600F-4DB4-B1A3-02726F7D2D4A}" name="Region"/>
    <tableColumn id="5" xr3:uid="{106424AE-A92D-4366-8E8E-FA514DECDF5A}" name="Quantity"/>
    <tableColumn id="6" xr3:uid="{D4F422D3-FD0B-4ED2-9E04-90A340FE6AC6}" name="Price"/>
    <tableColumn id="7" xr3:uid="{F417FFB4-30AE-42BB-AF45-2F1900E85840}" name="Column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4C948D-AFD9-43DB-A4B1-D720ADC03B2D}" name="Table1" displayName="Table1" ref="A1:G26" totalsRowShown="0">
  <autoFilter ref="A1:G26" xr:uid="{3B4C948D-AFD9-43DB-A4B1-D720ADC03B2D}"/>
  <tableColumns count="7">
    <tableColumn id="1" xr3:uid="{A0B9A777-DE96-48EB-8260-65F3D0A82961}" name="Date"/>
    <tableColumn id="2" xr3:uid="{11C2533C-A17D-4306-A764-187BE8EEA35B}" name="Product"/>
    <tableColumn id="3" xr3:uid="{622D0D97-69C2-4018-9243-30DE149F03AD}" name="Category"/>
    <tableColumn id="4" xr3:uid="{ACDBBC3C-3F8C-490E-8807-942BFC977CF9}" name="Region"/>
    <tableColumn id="5" xr3:uid="{2BC366A8-3D2B-48E2-8074-F532FCEC81B5}" name="Quantity"/>
    <tableColumn id="6" xr3:uid="{ECCA6E64-83C1-4867-8461-0D2C868ABE3C}" name="Price"/>
    <tableColumn id="11" xr3:uid="{5402957B-0498-4CEA-8B1C-18E571B4252F}" name="revenue" dataDxfId="0">
      <calculatedColumnFormula>SUM(Table1[[#This Row],[Quantity]]*Table1[[#This Row],[Price]])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openxmlformats.org/officeDocument/2006/relationships/table" Target="../tables/table2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A72F6-65A1-44CE-91BD-E2140E9108D3}">
  <dimension ref="A3:C20"/>
  <sheetViews>
    <sheetView workbookViewId="0">
      <selection activeCell="A3" sqref="A3"/>
    </sheetView>
  </sheetViews>
  <sheetFormatPr defaultRowHeight="15"/>
  <cols>
    <col min="1" max="7" width="12" bestFit="1" customWidth="1"/>
  </cols>
  <sheetData>
    <row r="3" spans="1:3">
      <c r="A3" s="1"/>
      <c r="B3" s="2"/>
      <c r="C3" s="3"/>
    </row>
    <row r="4" spans="1:3">
      <c r="A4" s="4"/>
      <c r="B4" s="5"/>
      <c r="C4" s="6"/>
    </row>
    <row r="5" spans="1:3">
      <c r="A5" s="4"/>
      <c r="B5" s="5"/>
      <c r="C5" s="6"/>
    </row>
    <row r="6" spans="1:3">
      <c r="A6" s="4"/>
      <c r="B6" s="5"/>
      <c r="C6" s="6"/>
    </row>
    <row r="7" spans="1:3">
      <c r="A7" s="4"/>
      <c r="B7" s="5"/>
      <c r="C7" s="6"/>
    </row>
    <row r="8" spans="1:3">
      <c r="A8" s="4"/>
      <c r="B8" s="5"/>
      <c r="C8" s="6"/>
    </row>
    <row r="9" spans="1:3">
      <c r="A9" s="4"/>
      <c r="B9" s="5"/>
      <c r="C9" s="6"/>
    </row>
    <row r="10" spans="1:3">
      <c r="A10" s="4"/>
      <c r="B10" s="5"/>
      <c r="C10" s="6"/>
    </row>
    <row r="11" spans="1:3">
      <c r="A11" s="4"/>
      <c r="B11" s="5"/>
      <c r="C11" s="6"/>
    </row>
    <row r="12" spans="1:3">
      <c r="A12" s="4"/>
      <c r="B12" s="5"/>
      <c r="C12" s="6"/>
    </row>
    <row r="13" spans="1:3">
      <c r="A13" s="4"/>
      <c r="B13" s="5"/>
      <c r="C13" s="6"/>
    </row>
    <row r="14" spans="1:3">
      <c r="A14" s="4"/>
      <c r="B14" s="5"/>
      <c r="C14" s="6"/>
    </row>
    <row r="15" spans="1:3">
      <c r="A15" s="4"/>
      <c r="B15" s="5"/>
      <c r="C15" s="6"/>
    </row>
    <row r="16" spans="1:3">
      <c r="A16" s="4"/>
      <c r="B16" s="5"/>
      <c r="C16" s="6"/>
    </row>
    <row r="17" spans="1:3">
      <c r="A17" s="4"/>
      <c r="B17" s="5"/>
      <c r="C17" s="6"/>
    </row>
    <row r="18" spans="1:3">
      <c r="A18" s="4"/>
      <c r="B18" s="5"/>
      <c r="C18" s="6"/>
    </row>
    <row r="19" spans="1:3">
      <c r="A19" s="4"/>
      <c r="B19" s="5"/>
      <c r="C19" s="6"/>
    </row>
    <row r="20" spans="1:3">
      <c r="A20" s="7"/>
      <c r="B20" s="8"/>
      <c r="C20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8BBA-85BB-438F-B92B-3FDC1CFDDFEF}">
  <dimension ref="A1:G8"/>
  <sheetViews>
    <sheetView workbookViewId="0"/>
  </sheetViews>
  <sheetFormatPr defaultRowHeight="15"/>
  <cols>
    <col min="1" max="1" width="10.85546875" bestFit="1" customWidth="1"/>
    <col min="2" max="2" width="10.140625" bestFit="1" customWidth="1"/>
    <col min="3" max="3" width="11.140625" bestFit="1" customWidth="1"/>
    <col min="4" max="4" width="9.28515625" bestFit="1" customWidth="1"/>
    <col min="5" max="5" width="11" bestFit="1" customWidth="1"/>
    <col min="7" max="7" width="11.140625" bestFit="1" customWidth="1"/>
  </cols>
  <sheetData>
    <row r="1" spans="1:7">
      <c r="A1" s="13" t="s">
        <v>0</v>
      </c>
    </row>
    <row r="3" spans="1:7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 spans="1:7">
      <c r="A4" t="s">
        <v>8</v>
      </c>
      <c r="B4" t="s">
        <v>9</v>
      </c>
      <c r="C4" t="s">
        <v>10</v>
      </c>
      <c r="D4" t="s">
        <v>11</v>
      </c>
      <c r="E4">
        <v>3</v>
      </c>
      <c r="F4">
        <v>6000</v>
      </c>
    </row>
    <row r="5" spans="1:7">
      <c r="A5" t="s">
        <v>12</v>
      </c>
      <c r="B5" t="s">
        <v>13</v>
      </c>
      <c r="C5" t="s">
        <v>14</v>
      </c>
      <c r="D5" t="s">
        <v>11</v>
      </c>
      <c r="E5">
        <v>1</v>
      </c>
      <c r="F5">
        <v>180000</v>
      </c>
    </row>
    <row r="6" spans="1:7">
      <c r="A6" t="s">
        <v>15</v>
      </c>
      <c r="B6" t="s">
        <v>16</v>
      </c>
      <c r="C6" t="s">
        <v>17</v>
      </c>
      <c r="D6" t="s">
        <v>11</v>
      </c>
      <c r="E6">
        <v>4</v>
      </c>
      <c r="F6">
        <v>5000</v>
      </c>
      <c r="G6" t="s">
        <v>18</v>
      </c>
    </row>
    <row r="7" spans="1:7">
      <c r="A7" t="s">
        <v>19</v>
      </c>
      <c r="B7" t="s">
        <v>20</v>
      </c>
      <c r="C7" t="s">
        <v>10</v>
      </c>
      <c r="D7" t="s">
        <v>11</v>
      </c>
      <c r="E7">
        <v>3</v>
      </c>
      <c r="F7">
        <v>7000</v>
      </c>
    </row>
    <row r="8" spans="1:7">
      <c r="A8" t="s">
        <v>21</v>
      </c>
      <c r="B8" t="s">
        <v>22</v>
      </c>
      <c r="C8" t="s">
        <v>14</v>
      </c>
      <c r="D8" t="s">
        <v>11</v>
      </c>
      <c r="E8">
        <v>1</v>
      </c>
      <c r="F8">
        <v>200000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tabSelected="1" workbookViewId="0">
      <selection activeCell="Q14" sqref="Q14"/>
    </sheetView>
  </sheetViews>
  <sheetFormatPr defaultRowHeight="15"/>
  <cols>
    <col min="1" max="1" width="10.85546875" bestFit="1" customWidth="1"/>
    <col min="2" max="2" width="11.85546875" bestFit="1" customWidth="1"/>
    <col min="3" max="3" width="11.140625" bestFit="1" customWidth="1"/>
    <col min="4" max="4" width="9.7109375" bestFit="1" customWidth="1"/>
    <col min="5" max="5" width="11" bestFit="1" customWidth="1"/>
    <col min="7" max="8" width="36.5703125" bestFit="1" customWidth="1"/>
    <col min="9" max="10" width="12" bestFit="1" customWidth="1"/>
    <col min="11" max="11" width="11.85546875" bestFit="1" customWidth="1"/>
    <col min="12" max="12" width="11.42578125" bestFit="1" customWidth="1"/>
    <col min="13" max="13" width="15.42578125" bestFit="1" customWidth="1"/>
    <col min="14" max="14" width="12" bestFit="1" customWidth="1"/>
    <col min="15" max="15" width="15.42578125" bestFit="1" customWidth="1"/>
    <col min="16" max="16" width="11.42578125" bestFit="1" customWidth="1"/>
    <col min="17" max="17" width="15.42578125" bestFit="1" customWidth="1"/>
  </cols>
  <sheetData>
    <row r="1" spans="1:10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23</v>
      </c>
      <c r="I1" s="10" t="s">
        <v>2</v>
      </c>
      <c r="J1" t="s">
        <v>24</v>
      </c>
    </row>
    <row r="2" spans="1:10">
      <c r="A2" t="s">
        <v>25</v>
      </c>
      <c r="B2" t="s">
        <v>22</v>
      </c>
      <c r="C2" t="s">
        <v>14</v>
      </c>
      <c r="D2" t="s">
        <v>26</v>
      </c>
      <c r="E2">
        <v>2</v>
      </c>
      <c r="F2">
        <v>200000</v>
      </c>
      <c r="G2">
        <f>SUM(Table1[[#This Row],[Quantity]]*Table1[[#This Row],[Price]])</f>
        <v>400000</v>
      </c>
      <c r="I2" t="s">
        <v>27</v>
      </c>
      <c r="J2" s="11">
        <v>6000</v>
      </c>
    </row>
    <row r="3" spans="1:10">
      <c r="A3" t="s">
        <v>28</v>
      </c>
      <c r="B3" t="s">
        <v>29</v>
      </c>
      <c r="C3" t="s">
        <v>14</v>
      </c>
      <c r="D3" t="s">
        <v>30</v>
      </c>
      <c r="E3">
        <v>1</v>
      </c>
      <c r="F3">
        <v>150000</v>
      </c>
      <c r="G3">
        <f>SUM(Table1[[#This Row],[Quantity]]*Table1[[#This Row],[Price]])</f>
        <v>150000</v>
      </c>
      <c r="I3" t="s">
        <v>9</v>
      </c>
      <c r="J3" s="11">
        <v>18000</v>
      </c>
    </row>
    <row r="4" spans="1:10">
      <c r="A4" t="s">
        <v>15</v>
      </c>
      <c r="B4" t="s">
        <v>16</v>
      </c>
      <c r="C4" t="s">
        <v>17</v>
      </c>
      <c r="D4" t="s">
        <v>11</v>
      </c>
      <c r="E4">
        <v>4</v>
      </c>
      <c r="F4">
        <v>5000</v>
      </c>
      <c r="G4">
        <f>SUM(Table1[[#This Row],[Quantity]]*Table1[[#This Row],[Price]])</f>
        <v>20000</v>
      </c>
      <c r="I4" t="s">
        <v>16</v>
      </c>
      <c r="J4" s="11">
        <v>20000</v>
      </c>
    </row>
    <row r="5" spans="1:10">
      <c r="A5" t="s">
        <v>31</v>
      </c>
      <c r="B5" t="s">
        <v>13</v>
      </c>
      <c r="C5" t="s">
        <v>14</v>
      </c>
      <c r="D5" t="s">
        <v>32</v>
      </c>
      <c r="E5">
        <v>1</v>
      </c>
      <c r="F5">
        <v>180000</v>
      </c>
      <c r="G5">
        <f>SUM(Table1[[#This Row],[Quantity]]*Table1[[#This Row],[Price]])</f>
        <v>180000</v>
      </c>
      <c r="I5" t="s">
        <v>20</v>
      </c>
      <c r="J5" s="11">
        <v>21000</v>
      </c>
    </row>
    <row r="6" spans="1:10">
      <c r="A6" t="s">
        <v>33</v>
      </c>
      <c r="B6" t="s">
        <v>27</v>
      </c>
      <c r="C6" t="s">
        <v>17</v>
      </c>
      <c r="D6" t="s">
        <v>26</v>
      </c>
      <c r="E6">
        <v>8</v>
      </c>
      <c r="F6">
        <v>2000</v>
      </c>
      <c r="G6" s="12">
        <f>SUM(Table1[[#This Row],[Quantity]]*Table1[[#This Row],[Price]])</f>
        <v>16000</v>
      </c>
      <c r="H6" s="12"/>
      <c r="I6" t="s">
        <v>34</v>
      </c>
      <c r="J6" s="11">
        <v>24000</v>
      </c>
    </row>
    <row r="7" spans="1:10">
      <c r="A7" t="s">
        <v>35</v>
      </c>
      <c r="B7" t="s">
        <v>34</v>
      </c>
      <c r="C7" t="s">
        <v>14</v>
      </c>
      <c r="D7" t="s">
        <v>30</v>
      </c>
      <c r="E7">
        <v>3</v>
      </c>
      <c r="F7">
        <v>8000</v>
      </c>
      <c r="G7">
        <f>SUM(Table1[[#This Row],[Quantity]]*Table1[[#This Row],[Price]])</f>
        <v>24000</v>
      </c>
      <c r="I7" t="s">
        <v>29</v>
      </c>
      <c r="J7" s="11">
        <v>450000</v>
      </c>
    </row>
    <row r="8" spans="1:10">
      <c r="A8" t="s">
        <v>36</v>
      </c>
      <c r="B8" t="s">
        <v>20</v>
      </c>
      <c r="C8" t="s">
        <v>10</v>
      </c>
      <c r="D8" t="s">
        <v>26</v>
      </c>
      <c r="E8">
        <v>5</v>
      </c>
      <c r="F8">
        <v>7000</v>
      </c>
      <c r="G8">
        <f>SUM(Table1[[#This Row],[Quantity]]*Table1[[#This Row],[Price]])</f>
        <v>35000</v>
      </c>
      <c r="I8" t="s">
        <v>13</v>
      </c>
      <c r="J8" s="11">
        <v>540000</v>
      </c>
    </row>
    <row r="9" spans="1:10">
      <c r="A9" t="s">
        <v>37</v>
      </c>
      <c r="B9" t="s">
        <v>9</v>
      </c>
      <c r="C9" t="s">
        <v>10</v>
      </c>
      <c r="D9" t="s">
        <v>32</v>
      </c>
      <c r="E9">
        <v>2</v>
      </c>
      <c r="F9">
        <v>6000</v>
      </c>
      <c r="G9">
        <f>SUM(Table1[[#This Row],[Quantity]]*Table1[[#This Row],[Price]])</f>
        <v>12000</v>
      </c>
      <c r="I9" t="s">
        <v>22</v>
      </c>
      <c r="J9" s="11">
        <v>600000</v>
      </c>
    </row>
    <row r="10" spans="1:10">
      <c r="A10" t="s">
        <v>38</v>
      </c>
      <c r="B10" t="s">
        <v>16</v>
      </c>
      <c r="C10" t="s">
        <v>17</v>
      </c>
      <c r="D10" t="s">
        <v>30</v>
      </c>
      <c r="E10">
        <v>6</v>
      </c>
      <c r="F10">
        <v>5000</v>
      </c>
      <c r="G10">
        <f>SUM(Table1[[#This Row],[Quantity]]*Table1[[#This Row],[Price]])</f>
        <v>30000</v>
      </c>
      <c r="I10" t="s">
        <v>39</v>
      </c>
      <c r="J10" s="11">
        <v>1679000</v>
      </c>
    </row>
    <row r="11" spans="1:10">
      <c r="A11" t="s">
        <v>21</v>
      </c>
      <c r="B11" t="s">
        <v>22</v>
      </c>
      <c r="C11" t="s">
        <v>14</v>
      </c>
      <c r="D11" t="s">
        <v>11</v>
      </c>
      <c r="E11">
        <v>1</v>
      </c>
      <c r="F11">
        <v>200000</v>
      </c>
      <c r="G11">
        <f>SUM(Table1[[#This Row],[Quantity]]*Table1[[#This Row],[Price]])</f>
        <v>200000</v>
      </c>
      <c r="I11" t="s">
        <v>40</v>
      </c>
    </row>
    <row r="12" spans="1:10">
      <c r="A12" t="s">
        <v>41</v>
      </c>
      <c r="B12" t="s">
        <v>13</v>
      </c>
      <c r="C12" t="s">
        <v>14</v>
      </c>
      <c r="D12" t="s">
        <v>26</v>
      </c>
      <c r="E12">
        <v>2</v>
      </c>
      <c r="F12">
        <v>180000</v>
      </c>
      <c r="G12">
        <f>SUM(Table1[[#This Row],[Quantity]]*Table1[[#This Row],[Price]])</f>
        <v>360000</v>
      </c>
    </row>
    <row r="13" spans="1:10">
      <c r="A13" t="s">
        <v>42</v>
      </c>
      <c r="B13" t="s">
        <v>29</v>
      </c>
      <c r="C13" t="s">
        <v>14</v>
      </c>
      <c r="D13" t="s">
        <v>32</v>
      </c>
      <c r="E13">
        <v>1</v>
      </c>
      <c r="F13">
        <v>150000</v>
      </c>
      <c r="G13">
        <f>SUM(Table1[[#This Row],[Quantity]]*Table1[[#This Row],[Price]])</f>
        <v>150000</v>
      </c>
      <c r="H13" s="10" t="s">
        <v>3</v>
      </c>
      <c r="I13" t="s">
        <v>24</v>
      </c>
    </row>
    <row r="14" spans="1:10">
      <c r="A14" t="s">
        <v>43</v>
      </c>
      <c r="B14" t="s">
        <v>27</v>
      </c>
      <c r="C14" t="s">
        <v>17</v>
      </c>
      <c r="D14" t="s">
        <v>30</v>
      </c>
      <c r="E14">
        <v>10</v>
      </c>
      <c r="F14">
        <v>2000</v>
      </c>
      <c r="G14">
        <f>SUM(Table1[[#This Row],[Quantity]]*Table1[[#This Row],[Price]])</f>
        <v>20000</v>
      </c>
      <c r="H14" t="s">
        <v>14</v>
      </c>
      <c r="I14" s="11">
        <v>1614000</v>
      </c>
    </row>
    <row r="15" spans="1:10">
      <c r="A15" t="s">
        <v>19</v>
      </c>
      <c r="B15" t="s">
        <v>20</v>
      </c>
      <c r="C15" t="s">
        <v>10</v>
      </c>
      <c r="D15" t="s">
        <v>11</v>
      </c>
      <c r="E15">
        <v>3</v>
      </c>
      <c r="F15">
        <v>7000</v>
      </c>
      <c r="G15">
        <f>SUM(Table1[[#This Row],[Quantity]]*Table1[[#This Row],[Price]])</f>
        <v>21000</v>
      </c>
      <c r="H15" t="s">
        <v>10</v>
      </c>
      <c r="I15" s="11">
        <v>39000</v>
      </c>
    </row>
    <row r="16" spans="1:10">
      <c r="A16" t="s">
        <v>44</v>
      </c>
      <c r="B16" t="s">
        <v>9</v>
      </c>
      <c r="C16" t="s">
        <v>10</v>
      </c>
      <c r="D16" t="s">
        <v>26</v>
      </c>
      <c r="E16">
        <v>4</v>
      </c>
      <c r="F16">
        <v>6000</v>
      </c>
      <c r="G16">
        <f>SUM(Table1[[#This Row],[Quantity]]*Table1[[#This Row],[Price]])</f>
        <v>24000</v>
      </c>
      <c r="H16" t="s">
        <v>17</v>
      </c>
      <c r="I16" s="11">
        <v>26000</v>
      </c>
    </row>
    <row r="17" spans="1:13">
      <c r="A17" t="s">
        <v>45</v>
      </c>
      <c r="B17" t="s">
        <v>34</v>
      </c>
      <c r="C17" t="s">
        <v>14</v>
      </c>
      <c r="D17" t="s">
        <v>32</v>
      </c>
      <c r="E17">
        <v>2</v>
      </c>
      <c r="F17">
        <v>8000</v>
      </c>
      <c r="G17">
        <f>SUM(Table1[[#This Row],[Quantity]]*Table1[[#This Row],[Price]])</f>
        <v>16000</v>
      </c>
      <c r="H17" t="s">
        <v>39</v>
      </c>
      <c r="I17" s="11">
        <v>1679000</v>
      </c>
    </row>
    <row r="18" spans="1:13" ht="30.75">
      <c r="A18" t="s">
        <v>46</v>
      </c>
      <c r="B18" t="s">
        <v>16</v>
      </c>
      <c r="C18" t="s">
        <v>17</v>
      </c>
      <c r="D18" t="s">
        <v>26</v>
      </c>
      <c r="E18">
        <v>7</v>
      </c>
      <c r="F18">
        <v>5000</v>
      </c>
      <c r="G18">
        <f>SUM(Table1[[#This Row],[Quantity]]*Table1[[#This Row],[Price]])</f>
        <v>35000</v>
      </c>
      <c r="H18" s="12" t="s">
        <v>47</v>
      </c>
    </row>
    <row r="19" spans="1:13">
      <c r="A19" t="s">
        <v>48</v>
      </c>
      <c r="B19" t="s">
        <v>22</v>
      </c>
      <c r="C19" t="s">
        <v>14</v>
      </c>
      <c r="D19" t="s">
        <v>30</v>
      </c>
      <c r="E19">
        <v>1</v>
      </c>
      <c r="F19">
        <v>200000</v>
      </c>
      <c r="G19">
        <f>SUM(Table1[[#This Row],[Quantity]]*Table1[[#This Row],[Price]])</f>
        <v>200000</v>
      </c>
    </row>
    <row r="20" spans="1:13">
      <c r="A20" t="s">
        <v>12</v>
      </c>
      <c r="B20" t="s">
        <v>13</v>
      </c>
      <c r="C20" t="s">
        <v>14</v>
      </c>
      <c r="D20" t="s">
        <v>11</v>
      </c>
      <c r="E20">
        <v>1</v>
      </c>
      <c r="F20">
        <v>180000</v>
      </c>
      <c r="G20">
        <f>SUM(Table1[[#This Row],[Quantity]]*Table1[[#This Row],[Price]])</f>
        <v>180000</v>
      </c>
      <c r="L20" s="10" t="s">
        <v>4</v>
      </c>
      <c r="M20" t="s">
        <v>49</v>
      </c>
    </row>
    <row r="21" spans="1:13">
      <c r="A21" t="s">
        <v>50</v>
      </c>
      <c r="B21" t="s">
        <v>29</v>
      </c>
      <c r="C21" t="s">
        <v>14</v>
      </c>
      <c r="D21" t="s">
        <v>26</v>
      </c>
      <c r="E21">
        <v>2</v>
      </c>
      <c r="F21">
        <v>150000</v>
      </c>
      <c r="G21">
        <f>SUM(Table1[[#This Row],[Quantity]]*Table1[[#This Row],[Price]])</f>
        <v>300000</v>
      </c>
      <c r="L21" t="s">
        <v>26</v>
      </c>
      <c r="M21" s="11">
        <v>35</v>
      </c>
    </row>
    <row r="22" spans="1:13">
      <c r="A22" t="s">
        <v>51</v>
      </c>
      <c r="B22" t="s">
        <v>27</v>
      </c>
      <c r="C22" t="s">
        <v>17</v>
      </c>
      <c r="D22" t="s">
        <v>32</v>
      </c>
      <c r="E22">
        <v>6</v>
      </c>
      <c r="F22">
        <v>2000</v>
      </c>
      <c r="G22">
        <f>SUM(Table1[[#This Row],[Quantity]]*Table1[[#This Row],[Price]])</f>
        <v>12000</v>
      </c>
      <c r="L22" t="s">
        <v>30</v>
      </c>
      <c r="M22" s="11">
        <v>25</v>
      </c>
    </row>
    <row r="23" spans="1:13">
      <c r="A23" t="s">
        <v>52</v>
      </c>
      <c r="B23" t="s">
        <v>20</v>
      </c>
      <c r="C23" t="s">
        <v>10</v>
      </c>
      <c r="D23" t="s">
        <v>30</v>
      </c>
      <c r="E23">
        <v>4</v>
      </c>
      <c r="F23">
        <v>7000</v>
      </c>
      <c r="G23">
        <f>SUM(Table1[[#This Row],[Quantity]]*Table1[[#This Row],[Price]])</f>
        <v>28000</v>
      </c>
      <c r="L23" t="s">
        <v>32</v>
      </c>
      <c r="M23" s="11">
        <v>20</v>
      </c>
    </row>
    <row r="24" spans="1:13">
      <c r="A24" t="s">
        <v>8</v>
      </c>
      <c r="B24" t="s">
        <v>9</v>
      </c>
      <c r="C24" t="s">
        <v>10</v>
      </c>
      <c r="D24" t="s">
        <v>11</v>
      </c>
      <c r="E24">
        <v>3</v>
      </c>
      <c r="F24">
        <v>6000</v>
      </c>
      <c r="G24">
        <f>SUM(Table1[[#This Row],[Quantity]]*Table1[[#This Row],[Price]])</f>
        <v>18000</v>
      </c>
      <c r="L24" t="s">
        <v>11</v>
      </c>
      <c r="M24" s="11">
        <v>12</v>
      </c>
    </row>
    <row r="25" spans="1:13">
      <c r="A25" t="s">
        <v>53</v>
      </c>
      <c r="B25" t="s">
        <v>34</v>
      </c>
      <c r="C25" t="s">
        <v>14</v>
      </c>
      <c r="D25" t="s">
        <v>26</v>
      </c>
      <c r="E25">
        <v>5</v>
      </c>
      <c r="F25">
        <v>8000</v>
      </c>
      <c r="G25">
        <f>SUM(Table1[[#This Row],[Quantity]]*Table1[[#This Row],[Price]])</f>
        <v>40000</v>
      </c>
      <c r="L25" t="s">
        <v>39</v>
      </c>
      <c r="M25" s="11">
        <v>92</v>
      </c>
    </row>
    <row r="26" spans="1:13" ht="30.75">
      <c r="A26" t="s">
        <v>54</v>
      </c>
      <c r="B26" t="s">
        <v>16</v>
      </c>
      <c r="C26" t="s">
        <v>17</v>
      </c>
      <c r="D26" t="s">
        <v>32</v>
      </c>
      <c r="E26">
        <v>8</v>
      </c>
      <c r="F26">
        <v>5000</v>
      </c>
      <c r="G26">
        <f>SUM(Table1[[#This Row],[Quantity]]*Table1[[#This Row],[Price]])</f>
        <v>40000</v>
      </c>
      <c r="L26" s="12" t="s">
        <v>55</v>
      </c>
    </row>
    <row r="28" spans="1:13">
      <c r="G28">
        <f>SUM(G2:G26)</f>
        <v>2511000</v>
      </c>
    </row>
  </sheetData>
  <pageMargins left="0.75" right="0.75" top="1" bottom="1" header="0.5" footer="0.5"/>
  <drawing r:id="rId4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2026-03-31T16:34:14Z</dcterms:created>
  <dcterms:modified xsi:type="dcterms:W3CDTF">2026-04-01T20:52:04Z</dcterms:modified>
  <cp:category/>
  <cp:contentStatus/>
</cp:coreProperties>
</file>